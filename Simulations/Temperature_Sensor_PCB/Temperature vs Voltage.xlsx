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ylan\Documents\GitHub\Black_Body\Simulations\"/>
    </mc:Choice>
  </mc:AlternateContent>
  <xr:revisionPtr revIDLastSave="0" documentId="13_ncr:1_{B08BF9C9-DEAF-4B36-8603-CF8CE70FA52D}" xr6:coauthVersionLast="47" xr6:coauthVersionMax="47" xr10:uidLastSave="{00000000-0000-0000-0000-000000000000}"/>
  <bookViews>
    <workbookView xWindow="-98" yWindow="-98" windowWidth="21795" windowHeight="12975" activeTab="1" xr2:uid="{6FDD085B-2125-46E3-9E49-998CCF20B50B}"/>
  </bookViews>
  <sheets>
    <sheet name="Graph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2" l="1"/>
  <c r="B11" i="2"/>
  <c r="B10" i="2"/>
  <c r="B9" i="2"/>
  <c r="B8" i="2"/>
  <c r="B7" i="2"/>
  <c r="B6" i="2"/>
  <c r="B5" i="2"/>
  <c r="B4" i="2"/>
  <c r="B3" i="2"/>
  <c r="C4" i="1"/>
  <c r="C5" i="1"/>
  <c r="C6" i="1"/>
  <c r="C7" i="1"/>
  <c r="C8" i="1"/>
  <c r="C9" i="1"/>
  <c r="C10" i="1"/>
  <c r="C11" i="1"/>
  <c r="C12" i="1"/>
  <c r="C3" i="1"/>
  <c r="D3" i="1"/>
  <c r="C2" i="1"/>
  <c r="F2" i="1"/>
  <c r="H2" i="1"/>
  <c r="G2" i="1"/>
  <c r="E2" i="1"/>
  <c r="D2" i="1"/>
  <c r="H4" i="1" l="1"/>
  <c r="G4" i="2" s="1"/>
  <c r="H5" i="1"/>
  <c r="G5" i="2" s="1"/>
  <c r="H6" i="1"/>
  <c r="G6" i="2" s="1"/>
  <c r="H7" i="1"/>
  <c r="G7" i="2" s="1"/>
  <c r="H8" i="1"/>
  <c r="G8" i="2" s="1"/>
  <c r="H9" i="1"/>
  <c r="G9" i="2" s="1"/>
  <c r="H10" i="1"/>
  <c r="G10" i="2" s="1"/>
  <c r="H11" i="1"/>
  <c r="G11" i="2" s="1"/>
  <c r="H12" i="1"/>
  <c r="G12" i="2" s="1"/>
  <c r="H3" i="1"/>
  <c r="G3" i="2" s="1"/>
  <c r="G8" i="1"/>
  <c r="F8" i="2" s="1"/>
  <c r="G4" i="1"/>
  <c r="F4" i="2" s="1"/>
  <c r="G12" i="1"/>
  <c r="F12" i="2" s="1"/>
  <c r="G5" i="1"/>
  <c r="F5" i="2" s="1"/>
  <c r="G6" i="1"/>
  <c r="F6" i="2" s="1"/>
  <c r="G7" i="1"/>
  <c r="F7" i="2" s="1"/>
  <c r="G9" i="1"/>
  <c r="F9" i="2" s="1"/>
  <c r="G10" i="1"/>
  <c r="F10" i="2" s="1"/>
  <c r="G11" i="1"/>
  <c r="F11" i="2" s="1"/>
  <c r="G3" i="1"/>
  <c r="F3" i="2" s="1"/>
  <c r="E9" i="1"/>
  <c r="D9" i="2" s="1"/>
  <c r="E4" i="1"/>
  <c r="D4" i="2" s="1"/>
  <c r="E5" i="1"/>
  <c r="D5" i="2" s="1"/>
  <c r="E11" i="1"/>
  <c r="D11" i="2" s="1"/>
  <c r="E10" i="1"/>
  <c r="D10" i="2" s="1"/>
  <c r="E6" i="1"/>
  <c r="D6" i="2" s="1"/>
  <c r="E8" i="1"/>
  <c r="D8" i="2" s="1"/>
  <c r="E12" i="1"/>
  <c r="D12" i="2" s="1"/>
  <c r="E7" i="1"/>
  <c r="D7" i="2" s="1"/>
  <c r="E3" i="1"/>
  <c r="D3" i="2" s="1"/>
  <c r="D4" i="1"/>
  <c r="C4" i="2" s="1"/>
  <c r="D6" i="1"/>
  <c r="C6" i="2" s="1"/>
  <c r="D7" i="1"/>
  <c r="C7" i="2" s="1"/>
  <c r="D8" i="1"/>
  <c r="C8" i="2" s="1"/>
  <c r="D10" i="1"/>
  <c r="C10" i="2" s="1"/>
  <c r="D11" i="1"/>
  <c r="C11" i="2" s="1"/>
  <c r="D12" i="1"/>
  <c r="C12" i="2" s="1"/>
  <c r="D5" i="1"/>
  <c r="C5" i="2" s="1"/>
  <c r="D9" i="1"/>
  <c r="C9" i="2" s="1"/>
  <c r="C3" i="2"/>
  <c r="F4" i="1"/>
  <c r="E4" i="2" s="1"/>
  <c r="F5" i="1"/>
  <c r="E5" i="2" s="1"/>
  <c r="F6" i="1"/>
  <c r="E6" i="2" s="1"/>
  <c r="F11" i="1"/>
  <c r="E11" i="2" s="1"/>
  <c r="F7" i="1"/>
  <c r="E7" i="2" s="1"/>
  <c r="F9" i="1"/>
  <c r="E9" i="2" s="1"/>
  <c r="F10" i="1"/>
  <c r="E10" i="2" s="1"/>
  <c r="F12" i="1"/>
  <c r="E12" i="2" s="1"/>
  <c r="F3" i="1"/>
  <c r="E3" i="2" s="1"/>
  <c r="F8" i="1"/>
  <c r="E8" i="2" s="1"/>
</calcChain>
</file>

<file path=xl/sharedStrings.xml><?xml version="1.0" encoding="utf-8"?>
<sst xmlns="http://schemas.openxmlformats.org/spreadsheetml/2006/main" count="13" uniqueCount="11">
  <si>
    <t>Temperature (k)</t>
  </si>
  <si>
    <t>Resistance (ohm)</t>
  </si>
  <si>
    <t>0.1uA</t>
  </si>
  <si>
    <t>1uA</t>
  </si>
  <si>
    <t>10uA</t>
  </si>
  <si>
    <t>100uA</t>
  </si>
  <si>
    <t>1000uA</t>
  </si>
  <si>
    <t>Voltage Drop (mV)</t>
  </si>
  <si>
    <t>&gt;10mV</t>
  </si>
  <si>
    <t>&lt;0.1mV</t>
  </si>
  <si>
    <t>0.01uA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</si>
</sst>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  <xf numFmtId="165" fontId="0" fillId="0" borderId="0" xfId="0" applyNumberFormat="1"/>
    <xf numFmtId="0" fontId="2" fillId="2" borderId="0" xfId="0" applyFont="1" applyFill="1"/>
    <xf numFmtId="0" fontId="0" fillId="2" borderId="0" xfId="0" applyFill="1"/>
    <xf numFmtId="0" fontId="0" fillId="3" borderId="0" xfId="0" applyFill="1"/>
    <xf numFmtId="165" fontId="0" fillId="3" borderId="0" xfId="0" applyNumberForma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Voltage</a:t>
            </a:r>
            <a:r>
              <a:rPr lang="en-CA" baseline="0"/>
              <a:t> Drop vs Current Input at Different Temperatures</a:t>
            </a:r>
          </a:p>
        </c:rich>
      </c:tx>
      <c:layout>
        <c:manualLayout>
          <c:xMode val="edge"/>
          <c:yMode val="edge"/>
          <c:x val="0.17911111111111108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636482939632552E-2"/>
          <c:y val="0.1459236754208619"/>
          <c:w val="0.88380796150481189"/>
          <c:h val="0.69832748708820969"/>
        </c:manualLayout>
      </c:layout>
      <c:lineChart>
        <c:grouping val="standard"/>
        <c:varyColors val="0"/>
        <c:ser>
          <c:idx val="0"/>
          <c:order val="0"/>
          <c:tx>
            <c:strRef>
              <c:f>Graph!$B$2</c:f>
              <c:strCache>
                <c:ptCount val="1"/>
                <c:pt idx="0">
                  <c:v>0.01uA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Graph!$B$3:$B$12</c:f>
              <c:numCache>
                <c:formatCode>0.0000</c:formatCode>
                <c:ptCount val="10"/>
                <c:pt idx="0">
                  <c:v>0.3518</c:v>
                </c:pt>
                <c:pt idx="1">
                  <c:v>5.4429999999999999E-2</c:v>
                </c:pt>
                <c:pt idx="2">
                  <c:v>8.7570000000000009E-3</c:v>
                </c:pt>
                <c:pt idx="3">
                  <c:v>4.4859999999999995E-3</c:v>
                </c:pt>
                <c:pt idx="4">
                  <c:v>2.4880000000000002E-3</c:v>
                </c:pt>
                <c:pt idx="5">
                  <c:v>9.4459999999999998E-4</c:v>
                </c:pt>
                <c:pt idx="6">
                  <c:v>3.3200000000000005E-4</c:v>
                </c:pt>
                <c:pt idx="7">
                  <c:v>7.7890000000000001E-5</c:v>
                </c:pt>
                <c:pt idx="8">
                  <c:v>3.5040000000000003E-5</c:v>
                </c:pt>
                <c:pt idx="9">
                  <c:v>2.7160000000000004E-5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E8-4879-A91B-C7CD65F8E213}"/>
            </c:ext>
          </c:extLst>
        </c:ser>
        <c:ser>
          <c:idx val="1"/>
          <c:order val="1"/>
          <c:tx>
            <c:strRef>
              <c:f>Graph!$C$2</c:f>
              <c:strCache>
                <c:ptCount val="1"/>
                <c:pt idx="0">
                  <c:v>0.1uA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Graph!$C$3:$C$12</c:f>
              <c:numCache>
                <c:formatCode>0.0000</c:formatCode>
                <c:ptCount val="10"/>
                <c:pt idx="0">
                  <c:v>3.5179999999999998</c:v>
                </c:pt>
                <c:pt idx="1">
                  <c:v>0.5442999999999999</c:v>
                </c:pt>
                <c:pt idx="2">
                  <c:v>8.7570000000000009E-2</c:v>
                </c:pt>
                <c:pt idx="3">
                  <c:v>4.4860000000000004E-2</c:v>
                </c:pt>
                <c:pt idx="4">
                  <c:v>2.4879999999999999E-2</c:v>
                </c:pt>
                <c:pt idx="5">
                  <c:v>9.4459999999999995E-3</c:v>
                </c:pt>
                <c:pt idx="6">
                  <c:v>3.32E-3</c:v>
                </c:pt>
                <c:pt idx="7">
                  <c:v>7.7890000000000001E-4</c:v>
                </c:pt>
                <c:pt idx="8">
                  <c:v>3.5039999999999995E-4</c:v>
                </c:pt>
                <c:pt idx="9">
                  <c:v>2.7160000000000004E-4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E8-4879-A91B-C7CD65F8E213}"/>
            </c:ext>
          </c:extLst>
        </c:ser>
        <c:ser>
          <c:idx val="2"/>
          <c:order val="2"/>
          <c:tx>
            <c:strRef>
              <c:f>Graph!$D$2</c:f>
              <c:strCache>
                <c:ptCount val="1"/>
                <c:pt idx="0">
                  <c:v>1uA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Graph!$D$3:$D$12</c:f>
              <c:numCache>
                <c:formatCode>0.0000</c:formatCode>
                <c:ptCount val="10"/>
                <c:pt idx="0">
                  <c:v>35.179999999999993</c:v>
                </c:pt>
                <c:pt idx="1">
                  <c:v>5.4429999999999996</c:v>
                </c:pt>
                <c:pt idx="2">
                  <c:v>0.87570000000000003</c:v>
                </c:pt>
                <c:pt idx="3">
                  <c:v>0.4486</c:v>
                </c:pt>
                <c:pt idx="4">
                  <c:v>0.24879999999999997</c:v>
                </c:pt>
                <c:pt idx="5">
                  <c:v>9.4459999999999988E-2</c:v>
                </c:pt>
                <c:pt idx="6">
                  <c:v>3.32E-2</c:v>
                </c:pt>
                <c:pt idx="7">
                  <c:v>7.788999999999999E-3</c:v>
                </c:pt>
                <c:pt idx="8">
                  <c:v>3.5039999999999997E-3</c:v>
                </c:pt>
                <c:pt idx="9">
                  <c:v>2.7160000000000001E-3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E8-4879-A91B-C7CD65F8E213}"/>
            </c:ext>
          </c:extLst>
        </c:ser>
        <c:ser>
          <c:idx val="3"/>
          <c:order val="3"/>
          <c:tx>
            <c:strRef>
              <c:f>Graph!$E$2</c:f>
              <c:strCache>
                <c:ptCount val="1"/>
                <c:pt idx="0">
                  <c:v>10uA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Graph!$E$3:$E$12</c:f>
              <c:numCache>
                <c:formatCode>0.0000</c:formatCode>
                <c:ptCount val="10"/>
                <c:pt idx="0">
                  <c:v>351.79999999999995</c:v>
                </c:pt>
                <c:pt idx="1">
                  <c:v>54.429999999999993</c:v>
                </c:pt>
                <c:pt idx="2">
                  <c:v>8.7569999999999997</c:v>
                </c:pt>
                <c:pt idx="3">
                  <c:v>4.4859999999999998</c:v>
                </c:pt>
                <c:pt idx="4">
                  <c:v>2.4879999999999995</c:v>
                </c:pt>
                <c:pt idx="5">
                  <c:v>0.94459999999999988</c:v>
                </c:pt>
                <c:pt idx="6">
                  <c:v>0.33200000000000002</c:v>
                </c:pt>
                <c:pt idx="7">
                  <c:v>7.7889999999999987E-2</c:v>
                </c:pt>
                <c:pt idx="8">
                  <c:v>3.5039999999999995E-2</c:v>
                </c:pt>
                <c:pt idx="9">
                  <c:v>2.716E-2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E8-4879-A91B-C7CD65F8E213}"/>
            </c:ext>
          </c:extLst>
        </c:ser>
        <c:ser>
          <c:idx val="4"/>
          <c:order val="4"/>
          <c:tx>
            <c:strRef>
              <c:f>Graph!$F$2</c:f>
              <c:strCache>
                <c:ptCount val="1"/>
                <c:pt idx="0">
                  <c:v>100uA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Graph!$F$3:$F$12</c:f>
              <c:numCache>
                <c:formatCode>0.0000</c:formatCode>
                <c:ptCount val="10"/>
                <c:pt idx="0">
                  <c:v>3518</c:v>
                </c:pt>
                <c:pt idx="1">
                  <c:v>544.29999999999995</c:v>
                </c:pt>
                <c:pt idx="2">
                  <c:v>87.57</c:v>
                </c:pt>
                <c:pt idx="3">
                  <c:v>44.86</c:v>
                </c:pt>
                <c:pt idx="4">
                  <c:v>24.88</c:v>
                </c:pt>
                <c:pt idx="5">
                  <c:v>9.445999999999998</c:v>
                </c:pt>
                <c:pt idx="6">
                  <c:v>3.32</c:v>
                </c:pt>
                <c:pt idx="7">
                  <c:v>0.77889999999999993</c:v>
                </c:pt>
                <c:pt idx="8">
                  <c:v>0.35039999999999993</c:v>
                </c:pt>
                <c:pt idx="9">
                  <c:v>0.27160000000000001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E8-4879-A91B-C7CD65F8E213}"/>
            </c:ext>
          </c:extLst>
        </c:ser>
        <c:ser>
          <c:idx val="5"/>
          <c:order val="5"/>
          <c:tx>
            <c:strRef>
              <c:f>Graph!$G$2</c:f>
              <c:strCache>
                <c:ptCount val="1"/>
                <c:pt idx="0">
                  <c:v>1000uA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Graph!$G$3:$G$12</c:f>
              <c:numCache>
                <c:formatCode>0.0000</c:formatCode>
                <c:ptCount val="10"/>
                <c:pt idx="0">
                  <c:v>35180</c:v>
                </c:pt>
                <c:pt idx="1">
                  <c:v>5443.0000000000009</c:v>
                </c:pt>
                <c:pt idx="2">
                  <c:v>875.7</c:v>
                </c:pt>
                <c:pt idx="3">
                  <c:v>448.60000000000008</c:v>
                </c:pt>
                <c:pt idx="4">
                  <c:v>248.8</c:v>
                </c:pt>
                <c:pt idx="5">
                  <c:v>94.460000000000008</c:v>
                </c:pt>
                <c:pt idx="6">
                  <c:v>33.200000000000003</c:v>
                </c:pt>
                <c:pt idx="7">
                  <c:v>7.7889999999999997</c:v>
                </c:pt>
                <c:pt idx="8">
                  <c:v>3.504</c:v>
                </c:pt>
                <c:pt idx="9">
                  <c:v>2.7160000000000002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D2-4B90-8D4A-5428E8AEB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903504"/>
        <c:axId val="397903024"/>
      </c:lineChart>
      <c:catAx>
        <c:axId val="397903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Temperature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903024"/>
        <c:crosses val="autoZero"/>
        <c:auto val="1"/>
        <c:lblAlgn val="ctr"/>
        <c:lblOffset val="100"/>
        <c:noMultiLvlLbl val="0"/>
      </c:catAx>
      <c:valAx>
        <c:axId val="397903024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Voltage Drop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90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531018</xdr:colOff>
      <xdr:row>4</xdr:row>
      <xdr:rowOff>28574</xdr:rowOff>
    </xdr:from>
    <xdr:to>
      <xdr:col>20</xdr:col>
      <xdr:colOff>61232</xdr:colOff>
      <xdr:row>31</xdr:row>
      <xdr:rowOff>176892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C2C10F9-64B6-2826-25F4-C38649491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2D628-D98E-4197-8325-6E39B43513B2}">
  <dimension ref="A1:G12"/>
  <sheetViews>
    <sheetView topLeftCell="B1" zoomScaleNormal="100" workbookViewId="0">
      <selection activeCell="G12" sqref="F12:G12"/>
    </sheetView>
  </sheetViews>
  <sheetFormatPr defaultRowHeight="14.25" x14ac:dyDescent="0.45"/>
  <cols>
    <col min="1" max="1" width="14.6640625" hidden="1" customWidth="1"/>
    <col min="2" max="2" width="6.73046875" bestFit="1" customWidth="1"/>
    <col min="3" max="3" width="6.53125" bestFit="1" customWidth="1"/>
    <col min="4" max="4" width="7.59765625" bestFit="1" customWidth="1"/>
    <col min="5" max="5" width="8.6640625" bestFit="1" customWidth="1"/>
    <col min="6" max="6" width="9.6640625" bestFit="1" customWidth="1"/>
    <col min="7" max="7" width="10.73046875" bestFit="1" customWidth="1"/>
  </cols>
  <sheetData>
    <row r="1" spans="1:7" x14ac:dyDescent="0.45">
      <c r="B1" s="9" t="s">
        <v>7</v>
      </c>
      <c r="C1" s="9"/>
      <c r="D1" s="9"/>
      <c r="E1" s="9"/>
      <c r="F1" s="9"/>
      <c r="G1" s="9"/>
    </row>
    <row r="2" spans="1:7" x14ac:dyDescent="0.45">
      <c r="A2" s="1" t="s">
        <v>1</v>
      </c>
      <c r="B2" s="3" t="s">
        <v>10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x14ac:dyDescent="0.45">
      <c r="A3">
        <v>35180</v>
      </c>
      <c r="B3" s="4">
        <f>Data!C3</f>
        <v>0.3518</v>
      </c>
      <c r="C3" s="4">
        <f>Data!D3</f>
        <v>3.5179999999999998</v>
      </c>
      <c r="D3" s="4">
        <f>Data!E3</f>
        <v>35.179999999999993</v>
      </c>
      <c r="E3" s="4">
        <f>Data!F3</f>
        <v>351.79999999999995</v>
      </c>
      <c r="F3" s="4">
        <f>Data!G3</f>
        <v>3518</v>
      </c>
      <c r="G3" s="4">
        <f>Data!H3</f>
        <v>35180</v>
      </c>
    </row>
    <row r="4" spans="1:7" x14ac:dyDescent="0.45">
      <c r="A4">
        <v>5443</v>
      </c>
      <c r="B4" s="4">
        <f>Data!C4</f>
        <v>5.4429999999999999E-2</v>
      </c>
      <c r="C4" s="4">
        <f>Data!D4</f>
        <v>0.5442999999999999</v>
      </c>
      <c r="D4" s="4">
        <f>Data!E4</f>
        <v>5.4429999999999996</v>
      </c>
      <c r="E4" s="4">
        <f>Data!F4</f>
        <v>54.429999999999993</v>
      </c>
      <c r="F4" s="4">
        <f>Data!G4</f>
        <v>544.29999999999995</v>
      </c>
      <c r="G4" s="4">
        <f>Data!H4</f>
        <v>5443.0000000000009</v>
      </c>
    </row>
    <row r="5" spans="1:7" x14ac:dyDescent="0.45">
      <c r="A5">
        <v>875.7</v>
      </c>
      <c r="B5" s="4">
        <f>Data!C5</f>
        <v>8.7570000000000009E-3</v>
      </c>
      <c r="C5" s="4">
        <f>Data!D5</f>
        <v>8.7570000000000009E-2</v>
      </c>
      <c r="D5" s="4">
        <f>Data!E5</f>
        <v>0.87570000000000003</v>
      </c>
      <c r="E5" s="4">
        <f>Data!F5</f>
        <v>8.7569999999999997</v>
      </c>
      <c r="F5" s="4">
        <f>Data!G5</f>
        <v>87.57</v>
      </c>
      <c r="G5" s="4">
        <f>Data!H5</f>
        <v>875.7</v>
      </c>
    </row>
    <row r="6" spans="1:7" x14ac:dyDescent="0.45">
      <c r="A6">
        <v>448.6</v>
      </c>
      <c r="B6" s="4">
        <f>Data!C6</f>
        <v>4.4859999999999995E-3</v>
      </c>
      <c r="C6" s="4">
        <f>Data!D6</f>
        <v>4.4860000000000004E-2</v>
      </c>
      <c r="D6" s="4">
        <f>Data!E6</f>
        <v>0.4486</v>
      </c>
      <c r="E6" s="4">
        <f>Data!F6</f>
        <v>4.4859999999999998</v>
      </c>
      <c r="F6" s="4">
        <f>Data!G6</f>
        <v>44.86</v>
      </c>
      <c r="G6" s="4">
        <f>Data!H6</f>
        <v>448.60000000000008</v>
      </c>
    </row>
    <row r="7" spans="1:7" x14ac:dyDescent="0.45">
      <c r="A7">
        <v>248.8</v>
      </c>
      <c r="B7" s="4">
        <f>Data!C7</f>
        <v>2.4880000000000002E-3</v>
      </c>
      <c r="C7" s="4">
        <f>Data!D7</f>
        <v>2.4879999999999999E-2</v>
      </c>
      <c r="D7" s="4">
        <f>Data!E7</f>
        <v>0.24879999999999997</v>
      </c>
      <c r="E7" s="4">
        <f>Data!F7</f>
        <v>2.4879999999999995</v>
      </c>
      <c r="F7" s="4">
        <f>Data!G7</f>
        <v>24.88</v>
      </c>
      <c r="G7" s="4">
        <f>Data!H7</f>
        <v>248.8</v>
      </c>
    </row>
    <row r="8" spans="1:7" x14ac:dyDescent="0.45">
      <c r="A8">
        <v>94.46</v>
      </c>
      <c r="B8" s="4">
        <f>Data!C8</f>
        <v>9.4459999999999998E-4</v>
      </c>
      <c r="C8" s="4">
        <f>Data!D8</f>
        <v>9.4459999999999995E-3</v>
      </c>
      <c r="D8" s="4">
        <f>Data!E8</f>
        <v>9.4459999999999988E-2</v>
      </c>
      <c r="E8" s="4">
        <f>Data!F8</f>
        <v>0.94459999999999988</v>
      </c>
      <c r="F8" s="4">
        <f>Data!G8</f>
        <v>9.445999999999998</v>
      </c>
      <c r="G8" s="4">
        <f>Data!H8</f>
        <v>94.460000000000008</v>
      </c>
    </row>
    <row r="9" spans="1:7" x14ac:dyDescent="0.45">
      <c r="A9">
        <v>33.200000000000003</v>
      </c>
      <c r="B9" s="4">
        <f>Data!C9</f>
        <v>3.3200000000000005E-4</v>
      </c>
      <c r="C9" s="4">
        <f>Data!D9</f>
        <v>3.32E-3</v>
      </c>
      <c r="D9" s="4">
        <f>Data!E9</f>
        <v>3.32E-2</v>
      </c>
      <c r="E9" s="4">
        <f>Data!F9</f>
        <v>0.33200000000000002</v>
      </c>
      <c r="F9" s="4">
        <f>Data!G9</f>
        <v>3.32</v>
      </c>
      <c r="G9" s="4">
        <f>Data!H9</f>
        <v>33.200000000000003</v>
      </c>
    </row>
    <row r="10" spans="1:7" x14ac:dyDescent="0.45">
      <c r="A10">
        <v>7.7889999999999997</v>
      </c>
      <c r="B10" s="4">
        <f>Data!C10</f>
        <v>7.7890000000000001E-5</v>
      </c>
      <c r="C10" s="4">
        <f>Data!D10</f>
        <v>7.7890000000000001E-4</v>
      </c>
      <c r="D10" s="4">
        <f>Data!E10</f>
        <v>7.788999999999999E-3</v>
      </c>
      <c r="E10" s="4">
        <f>Data!F10</f>
        <v>7.7889999999999987E-2</v>
      </c>
      <c r="F10" s="4">
        <f>Data!G10</f>
        <v>0.77889999999999993</v>
      </c>
      <c r="G10" s="4">
        <f>Data!H10</f>
        <v>7.7889999999999997</v>
      </c>
    </row>
    <row r="11" spans="1:7" x14ac:dyDescent="0.45">
      <c r="A11">
        <v>3.504</v>
      </c>
      <c r="B11" s="4">
        <f>Data!C11</f>
        <v>3.5040000000000003E-5</v>
      </c>
      <c r="C11" s="4">
        <f>Data!D11</f>
        <v>3.5039999999999995E-4</v>
      </c>
      <c r="D11" s="4">
        <f>Data!E11</f>
        <v>3.5039999999999997E-3</v>
      </c>
      <c r="E11" s="4">
        <f>Data!F11</f>
        <v>3.5039999999999995E-2</v>
      </c>
      <c r="F11" s="4">
        <f>Data!G11</f>
        <v>0.35039999999999993</v>
      </c>
      <c r="G11" s="4">
        <f>Data!H11</f>
        <v>3.504</v>
      </c>
    </row>
    <row r="12" spans="1:7" x14ac:dyDescent="0.45">
      <c r="A12">
        <v>2.7160000000000002</v>
      </c>
      <c r="B12" s="4">
        <f>Data!C12</f>
        <v>2.7160000000000004E-5</v>
      </c>
      <c r="C12" s="4">
        <f>Data!D12</f>
        <v>2.7160000000000004E-4</v>
      </c>
      <c r="D12" s="4">
        <f>Data!E12</f>
        <v>2.7160000000000001E-3</v>
      </c>
      <c r="E12" s="4">
        <f>Data!F12</f>
        <v>2.716E-2</v>
      </c>
      <c r="F12" s="4">
        <f>Data!G12</f>
        <v>0.27160000000000001</v>
      </c>
      <c r="G12" s="4">
        <f>Data!H12</f>
        <v>2.7160000000000002</v>
      </c>
    </row>
  </sheetData>
  <mergeCells count="1">
    <mergeCell ref="B1: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DC60C-1FCE-4293-9A3D-709A089882DB}">
  <dimension ref="A1:K12"/>
  <sheetViews>
    <sheetView tabSelected="1" workbookViewId="0">
      <selection activeCell="F22" sqref="F22"/>
    </sheetView>
  </sheetViews>
  <sheetFormatPr defaultRowHeight="14.25" x14ac:dyDescent="0.45"/>
  <cols>
    <col min="1" max="1" width="13.53125" bestFit="1" customWidth="1"/>
    <col min="2" max="2" width="14.6640625" bestFit="1" customWidth="1"/>
    <col min="3" max="3" width="14.6640625" customWidth="1"/>
    <col min="4" max="4" width="9.73046875" bestFit="1" customWidth="1"/>
  </cols>
  <sheetData>
    <row r="1" spans="1:11" x14ac:dyDescent="0.45">
      <c r="D1" s="9" t="s">
        <v>7</v>
      </c>
      <c r="E1" s="9"/>
      <c r="F1" s="9"/>
      <c r="G1" s="9"/>
      <c r="H1" s="9"/>
    </row>
    <row r="2" spans="1:11" x14ac:dyDescent="0.45">
      <c r="A2" s="1" t="s">
        <v>0</v>
      </c>
      <c r="B2" s="1" t="s">
        <v>1</v>
      </c>
      <c r="C2" s="3">
        <f>0.01*10^-6</f>
        <v>1E-8</v>
      </c>
      <c r="D2" s="3">
        <f>0.1*10^-6</f>
        <v>9.9999999999999995E-8</v>
      </c>
      <c r="E2" s="3">
        <f>1*10^-6</f>
        <v>9.9999999999999995E-7</v>
      </c>
      <c r="F2" s="3">
        <f>10*10^-6</f>
        <v>9.9999999999999991E-6</v>
      </c>
      <c r="G2" s="3">
        <f>100*10^-6</f>
        <v>9.9999999999999991E-5</v>
      </c>
      <c r="H2" s="3">
        <f>1000*10^-6</f>
        <v>1E-3</v>
      </c>
    </row>
    <row r="3" spans="1:11" x14ac:dyDescent="0.45">
      <c r="A3" s="2">
        <v>0.3</v>
      </c>
      <c r="B3">
        <v>35180</v>
      </c>
      <c r="C3" s="4">
        <f>$C$2*B3*1000</f>
        <v>0.3518</v>
      </c>
      <c r="D3" s="4">
        <f>$D$2*B3*1000</f>
        <v>3.5179999999999998</v>
      </c>
      <c r="E3" s="5">
        <f>$E$2*B3*1000</f>
        <v>35.179999999999993</v>
      </c>
      <c r="F3" s="5">
        <f>$F$2*B3*1000</f>
        <v>351.79999999999995</v>
      </c>
      <c r="G3" s="5">
        <f>$G$2*B3*1000</f>
        <v>3518</v>
      </c>
      <c r="H3" s="5">
        <f>$H$2*B3*1000</f>
        <v>35180</v>
      </c>
    </row>
    <row r="4" spans="1:11" x14ac:dyDescent="0.45">
      <c r="A4" s="2">
        <v>0.5</v>
      </c>
      <c r="B4">
        <v>5443</v>
      </c>
      <c r="C4" s="8">
        <f t="shared" ref="C4:C12" si="0">$C$2*B4*1000</f>
        <v>5.4429999999999999E-2</v>
      </c>
      <c r="D4" s="4">
        <f t="shared" ref="D4:D12" si="1">$D$2*B4*1000</f>
        <v>0.5442999999999999</v>
      </c>
      <c r="E4">
        <f t="shared" ref="E4:E12" si="2">$E$2*B4*1000</f>
        <v>5.4429999999999996</v>
      </c>
      <c r="F4" s="6">
        <f t="shared" ref="F4:F12" si="3">$F$2*B4*1000</f>
        <v>54.429999999999993</v>
      </c>
      <c r="G4" s="6">
        <f t="shared" ref="G4:G12" si="4">$G$2*B4*1000</f>
        <v>544.29999999999995</v>
      </c>
      <c r="H4" s="6">
        <f t="shared" ref="H4:H12" si="5">$H$2*B4*1000</f>
        <v>5443.0000000000009</v>
      </c>
    </row>
    <row r="5" spans="1:11" x14ac:dyDescent="0.45">
      <c r="A5" s="2">
        <v>1</v>
      </c>
      <c r="B5">
        <v>875.7</v>
      </c>
      <c r="C5" s="8">
        <f t="shared" si="0"/>
        <v>8.7570000000000009E-3</v>
      </c>
      <c r="D5" s="8">
        <f t="shared" si="1"/>
        <v>8.7570000000000009E-2</v>
      </c>
      <c r="E5">
        <f t="shared" si="2"/>
        <v>0.87570000000000003</v>
      </c>
      <c r="F5">
        <f t="shared" si="3"/>
        <v>8.7569999999999997</v>
      </c>
      <c r="G5" s="6">
        <f t="shared" si="4"/>
        <v>87.57</v>
      </c>
      <c r="H5" s="6">
        <f t="shared" si="5"/>
        <v>875.7</v>
      </c>
      <c r="K5" s="6" t="s">
        <v>8</v>
      </c>
    </row>
    <row r="6" spans="1:11" x14ac:dyDescent="0.45">
      <c r="A6" s="2">
        <v>1.4</v>
      </c>
      <c r="B6">
        <v>448.6</v>
      </c>
      <c r="C6" s="8">
        <f t="shared" si="0"/>
        <v>4.4859999999999995E-3</v>
      </c>
      <c r="D6" s="8">
        <f t="shared" si="1"/>
        <v>4.4860000000000004E-2</v>
      </c>
      <c r="E6">
        <f t="shared" si="2"/>
        <v>0.4486</v>
      </c>
      <c r="F6">
        <f t="shared" si="3"/>
        <v>4.4859999999999998</v>
      </c>
      <c r="G6" s="6">
        <f t="shared" si="4"/>
        <v>44.86</v>
      </c>
      <c r="H6" s="6">
        <f t="shared" si="5"/>
        <v>448.60000000000008</v>
      </c>
      <c r="K6" s="7" t="s">
        <v>9</v>
      </c>
    </row>
    <row r="7" spans="1:11" x14ac:dyDescent="0.45">
      <c r="A7" s="2">
        <v>2</v>
      </c>
      <c r="B7">
        <v>248.8</v>
      </c>
      <c r="C7" s="8">
        <f t="shared" si="0"/>
        <v>2.4880000000000002E-3</v>
      </c>
      <c r="D7" s="8">
        <f t="shared" si="1"/>
        <v>2.4879999999999999E-2</v>
      </c>
      <c r="E7">
        <f t="shared" si="2"/>
        <v>0.24879999999999997</v>
      </c>
      <c r="F7">
        <f t="shared" si="3"/>
        <v>2.4879999999999995</v>
      </c>
      <c r="G7" s="6">
        <f t="shared" si="4"/>
        <v>24.88</v>
      </c>
      <c r="H7" s="6">
        <f t="shared" si="5"/>
        <v>248.8</v>
      </c>
    </row>
    <row r="8" spans="1:11" x14ac:dyDescent="0.45">
      <c r="A8" s="2">
        <v>4.2</v>
      </c>
      <c r="B8">
        <v>94.46</v>
      </c>
      <c r="C8" s="8">
        <f t="shared" si="0"/>
        <v>9.4459999999999998E-4</v>
      </c>
      <c r="D8" s="8">
        <f t="shared" si="1"/>
        <v>9.4459999999999995E-3</v>
      </c>
      <c r="E8" s="7">
        <f t="shared" si="2"/>
        <v>9.4459999999999988E-2</v>
      </c>
      <c r="F8">
        <f t="shared" si="3"/>
        <v>0.94459999999999988</v>
      </c>
      <c r="G8">
        <f t="shared" si="4"/>
        <v>9.445999999999998</v>
      </c>
      <c r="H8" s="6">
        <f t="shared" si="5"/>
        <v>94.460000000000008</v>
      </c>
    </row>
    <row r="9" spans="1:11" x14ac:dyDescent="0.45">
      <c r="A9" s="2">
        <v>10</v>
      </c>
      <c r="B9">
        <v>33.200000000000003</v>
      </c>
      <c r="C9" s="8">
        <f t="shared" si="0"/>
        <v>3.3200000000000005E-4</v>
      </c>
      <c r="D9" s="8">
        <f t="shared" si="1"/>
        <v>3.32E-3</v>
      </c>
      <c r="E9" s="7">
        <f t="shared" si="2"/>
        <v>3.32E-2</v>
      </c>
      <c r="F9">
        <f t="shared" si="3"/>
        <v>0.33200000000000002</v>
      </c>
      <c r="G9">
        <f t="shared" si="4"/>
        <v>3.32</v>
      </c>
      <c r="H9" s="6">
        <f t="shared" si="5"/>
        <v>33.200000000000003</v>
      </c>
    </row>
    <row r="10" spans="1:11" x14ac:dyDescent="0.45">
      <c r="A10" s="2">
        <v>40</v>
      </c>
      <c r="B10">
        <v>7.7889999999999997</v>
      </c>
      <c r="C10" s="8">
        <f t="shared" si="0"/>
        <v>7.7890000000000001E-5</v>
      </c>
      <c r="D10" s="8">
        <f t="shared" si="1"/>
        <v>7.7890000000000001E-4</v>
      </c>
      <c r="E10" s="7">
        <f t="shared" si="2"/>
        <v>7.788999999999999E-3</v>
      </c>
      <c r="F10" s="7">
        <f t="shared" si="3"/>
        <v>7.7889999999999987E-2</v>
      </c>
      <c r="G10">
        <f t="shared" si="4"/>
        <v>0.77889999999999993</v>
      </c>
      <c r="H10">
        <f t="shared" si="5"/>
        <v>7.7889999999999997</v>
      </c>
    </row>
    <row r="11" spans="1:11" x14ac:dyDescent="0.45">
      <c r="A11" s="2">
        <v>77.400000000000006</v>
      </c>
      <c r="B11">
        <v>3.504</v>
      </c>
      <c r="C11" s="8">
        <f t="shared" si="0"/>
        <v>3.5040000000000003E-5</v>
      </c>
      <c r="D11" s="8">
        <f t="shared" si="1"/>
        <v>3.5039999999999995E-4</v>
      </c>
      <c r="E11" s="7">
        <f t="shared" si="2"/>
        <v>3.5039999999999997E-3</v>
      </c>
      <c r="F11" s="7">
        <f t="shared" si="3"/>
        <v>3.5039999999999995E-2</v>
      </c>
      <c r="G11">
        <f t="shared" si="4"/>
        <v>0.35039999999999993</v>
      </c>
      <c r="H11">
        <f t="shared" si="5"/>
        <v>3.504</v>
      </c>
    </row>
    <row r="12" spans="1:11" x14ac:dyDescent="0.45">
      <c r="A12" s="2">
        <v>100</v>
      </c>
      <c r="B12">
        <v>2.7160000000000002</v>
      </c>
      <c r="C12" s="8">
        <f t="shared" si="0"/>
        <v>2.7160000000000004E-5</v>
      </c>
      <c r="D12" s="8">
        <f t="shared" si="1"/>
        <v>2.7160000000000004E-4</v>
      </c>
      <c r="E12" s="7">
        <f t="shared" si="2"/>
        <v>2.7160000000000001E-3</v>
      </c>
      <c r="F12" s="7">
        <f t="shared" si="3"/>
        <v>2.716E-2</v>
      </c>
      <c r="G12">
        <f t="shared" si="4"/>
        <v>0.27160000000000001</v>
      </c>
      <c r="H12">
        <f t="shared" si="5"/>
        <v>2.7160000000000002</v>
      </c>
    </row>
  </sheetData>
  <mergeCells count="1">
    <mergeCell ref="D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Graph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Lockyer</dc:creator>
  <cp:lastModifiedBy>Dylan Lockyer</cp:lastModifiedBy>
  <dcterms:created xsi:type="dcterms:W3CDTF">2026-05-20T17:20:32Z</dcterms:created>
  <dcterms:modified xsi:type="dcterms:W3CDTF">2026-05-29T21:51:44Z</dcterms:modified>
</cp:coreProperties>
</file>